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4260" windowHeight="748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18" i="1" l="1"/>
  <c r="K18" i="1"/>
  <c r="H18" i="1"/>
  <c r="E18" i="1"/>
  <c r="B18" i="1"/>
  <c r="N17" i="1"/>
  <c r="M16" i="1"/>
  <c r="M15" i="1"/>
  <c r="M14" i="1"/>
  <c r="M13" i="1"/>
  <c r="M12" i="1"/>
  <c r="M11" i="1"/>
  <c r="M17" i="1" s="1"/>
  <c r="J16" i="1"/>
  <c r="J15" i="1"/>
  <c r="J14" i="1"/>
  <c r="J13" i="1"/>
  <c r="J17" i="1" s="1"/>
  <c r="J12" i="1"/>
  <c r="J11" i="1"/>
  <c r="G16" i="1"/>
  <c r="G15" i="1"/>
  <c r="G14" i="1"/>
  <c r="G13" i="1"/>
  <c r="G12" i="1"/>
  <c r="G11" i="1"/>
  <c r="G17" i="1" s="1"/>
  <c r="D17" i="1"/>
  <c r="D16" i="1"/>
  <c r="D15" i="1"/>
  <c r="D14" i="1"/>
  <c r="D13" i="1"/>
  <c r="D12" i="1"/>
  <c r="D11" i="1"/>
  <c r="C8" i="1" l="1"/>
  <c r="C7" i="1"/>
  <c r="C6" i="1"/>
  <c r="C5" i="1"/>
  <c r="C4" i="1"/>
  <c r="C3" i="1"/>
  <c r="C2" i="1"/>
  <c r="D8" i="1"/>
  <c r="D7" i="1"/>
  <c r="D6" i="1"/>
  <c r="D5" i="1"/>
  <c r="D4" i="1"/>
  <c r="D3" i="1"/>
  <c r="D2" i="1"/>
  <c r="E8" i="1"/>
  <c r="E7" i="1"/>
  <c r="E6" i="1"/>
  <c r="E5" i="1"/>
  <c r="E4" i="1"/>
  <c r="E3" i="1"/>
  <c r="E2" i="1"/>
  <c r="A4" i="1"/>
  <c r="A5" i="1" s="1"/>
  <c r="A3" i="1"/>
  <c r="B3" i="1"/>
  <c r="B2" i="1"/>
  <c r="A6" i="1" l="1"/>
  <c r="B5" i="1"/>
  <c r="B4" i="1"/>
  <c r="A7" i="1" l="1"/>
  <c r="B6" i="1"/>
  <c r="B7" i="1" l="1"/>
  <c r="A8" i="1"/>
  <c r="B8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tabSelected="1" workbookViewId="0">
      <selection activeCell="B18" sqref="B18"/>
    </sheetView>
  </sheetViews>
  <sheetFormatPr baseColWidth="10" defaultColWidth="9.140625" defaultRowHeight="15" x14ac:dyDescent="0.25"/>
  <sheetData>
    <row r="2" spans="1:13" x14ac:dyDescent="0.25">
      <c r="A2">
        <v>10</v>
      </c>
      <c r="B2">
        <f>0.9+0.47*A2-0.0049*A2^2</f>
        <v>5.1099999999999994</v>
      </c>
      <c r="C2">
        <f>-0.57+5.5*LOG(A2)</f>
        <v>4.93</v>
      </c>
      <c r="D2">
        <f>-0.17+2.38*LOG(A2)</f>
        <v>2.21</v>
      </c>
      <c r="E2" s="1">
        <f t="shared" ref="E2:E8" si="0">+EXP(2.04-4.39/A2)</f>
        <v>4.9579879341614337</v>
      </c>
    </row>
    <row r="3" spans="1:13" x14ac:dyDescent="0.25">
      <c r="A3">
        <f>+A2+10</f>
        <v>20</v>
      </c>
      <c r="B3">
        <f>0.9+0.47*A3-0.0049*A3^2</f>
        <v>8.34</v>
      </c>
      <c r="C3">
        <f t="shared" ref="C3:C8" si="1">-0.57+5.5*LOG(A3)</f>
        <v>6.5856649761518966</v>
      </c>
      <c r="D3">
        <f t="shared" ref="D3:D8" si="2">-0.17+2.38*LOG(A3)</f>
        <v>2.9264513896802753</v>
      </c>
      <c r="E3" s="1">
        <f t="shared" si="0"/>
        <v>6.174945150719398</v>
      </c>
    </row>
    <row r="4" spans="1:13" x14ac:dyDescent="0.25">
      <c r="A4">
        <f t="shared" ref="A4:A8" si="3">+A3+10</f>
        <v>30</v>
      </c>
      <c r="B4">
        <f t="shared" ref="B4:B8" si="4">0.9+0.47*A4-0.0049*A4^2</f>
        <v>10.59</v>
      </c>
      <c r="C4">
        <f t="shared" si="1"/>
        <v>7.5541669009581423</v>
      </c>
      <c r="D4">
        <f t="shared" si="2"/>
        <v>3.3455485862327965</v>
      </c>
      <c r="E4" s="1">
        <f t="shared" si="0"/>
        <v>6.6436842508424307</v>
      </c>
    </row>
    <row r="5" spans="1:13" x14ac:dyDescent="0.25">
      <c r="A5">
        <f t="shared" si="3"/>
        <v>40</v>
      </c>
      <c r="B5">
        <f t="shared" si="4"/>
        <v>11.859999999999996</v>
      </c>
      <c r="C5">
        <f t="shared" si="1"/>
        <v>8.2413299523037917</v>
      </c>
      <c r="D5">
        <f t="shared" si="2"/>
        <v>3.6429027793605502</v>
      </c>
      <c r="E5" s="1">
        <f t="shared" si="0"/>
        <v>6.8912328344568259</v>
      </c>
    </row>
    <row r="6" spans="1:13" x14ac:dyDescent="0.25">
      <c r="A6">
        <f t="shared" si="3"/>
        <v>50</v>
      </c>
      <c r="B6">
        <f t="shared" si="4"/>
        <v>12.149999999999999</v>
      </c>
      <c r="C6">
        <f t="shared" si="1"/>
        <v>8.7743350238481028</v>
      </c>
      <c r="D6">
        <f t="shared" si="2"/>
        <v>3.8735486103197241</v>
      </c>
      <c r="E6" s="1">
        <f t="shared" si="0"/>
        <v>7.0441677151709756</v>
      </c>
    </row>
    <row r="7" spans="1:13" x14ac:dyDescent="0.25">
      <c r="A7">
        <f t="shared" si="3"/>
        <v>60</v>
      </c>
      <c r="B7">
        <f t="shared" si="4"/>
        <v>11.459999999999997</v>
      </c>
      <c r="C7">
        <f t="shared" si="1"/>
        <v>9.2098318771100391</v>
      </c>
      <c r="D7">
        <f t="shared" si="2"/>
        <v>4.0619999759130714</v>
      </c>
      <c r="E7" s="1">
        <f t="shared" si="0"/>
        <v>7.1480052611883496</v>
      </c>
    </row>
    <row r="8" spans="1:13" x14ac:dyDescent="0.25">
      <c r="A8">
        <f t="shared" si="3"/>
        <v>70</v>
      </c>
      <c r="B8">
        <f t="shared" si="4"/>
        <v>9.7899999999999991</v>
      </c>
      <c r="C8">
        <f t="shared" si="1"/>
        <v>9.5780392200784128</v>
      </c>
      <c r="D8">
        <f t="shared" si="2"/>
        <v>4.2213333352339317</v>
      </c>
      <c r="E8" s="1">
        <f t="shared" si="0"/>
        <v>7.2231107671217405</v>
      </c>
    </row>
    <row r="11" spans="1:13" x14ac:dyDescent="0.25">
      <c r="A11">
        <v>15</v>
      </c>
      <c r="B11">
        <v>15</v>
      </c>
      <c r="C11">
        <v>13</v>
      </c>
      <c r="D11">
        <f>C11^2/40000*PI()*B11</f>
        <v>0.19909843442125313</v>
      </c>
      <c r="E11">
        <v>6</v>
      </c>
      <c r="F11">
        <v>11</v>
      </c>
      <c r="G11">
        <f>F11^2/40000*PI()*E11</f>
        <v>5.7019906662654746E-2</v>
      </c>
      <c r="H11">
        <v>14</v>
      </c>
      <c r="I11">
        <v>12</v>
      </c>
      <c r="J11">
        <f>I11^2/40000*PI()*H11</f>
        <v>0.15833626974092557</v>
      </c>
      <c r="K11">
        <v>14.2</v>
      </c>
      <c r="L11">
        <v>14</v>
      </c>
      <c r="M11">
        <f>L11^2/40000*PI()*K11</f>
        <v>0.21859201683677779</v>
      </c>
    </row>
    <row r="12" spans="1:13" x14ac:dyDescent="0.25">
      <c r="A12">
        <v>25</v>
      </c>
      <c r="B12">
        <v>16</v>
      </c>
      <c r="C12">
        <v>21</v>
      </c>
      <c r="D12">
        <f t="shared" ref="D12:D16" si="5">C12^2/40000*PI()*B12</f>
        <v>0.55417694409323948</v>
      </c>
      <c r="E12">
        <v>6</v>
      </c>
      <c r="F12">
        <v>22</v>
      </c>
      <c r="G12">
        <f t="shared" ref="G12:G16" si="6">F12^2/40000*PI()*E12</f>
        <v>0.22807962665061898</v>
      </c>
      <c r="H12">
        <v>12</v>
      </c>
      <c r="I12">
        <v>22</v>
      </c>
      <c r="J12">
        <f t="shared" ref="J12:J16" si="7">I12^2/40000*PI()*H12</f>
        <v>0.45615925330123797</v>
      </c>
      <c r="K12">
        <v>12.2</v>
      </c>
      <c r="L12">
        <v>23</v>
      </c>
      <c r="M12">
        <f t="shared" ref="M12:M16" si="8">L12^2/40000*PI()*K12</f>
        <v>0.50688026669344521</v>
      </c>
    </row>
    <row r="13" spans="1:13" x14ac:dyDescent="0.25">
      <c r="A13">
        <v>35</v>
      </c>
      <c r="B13">
        <v>7</v>
      </c>
      <c r="C13">
        <v>33</v>
      </c>
      <c r="D13">
        <f t="shared" si="5"/>
        <v>0.59870901995787484</v>
      </c>
      <c r="E13">
        <v>3</v>
      </c>
      <c r="F13">
        <v>33</v>
      </c>
      <c r="G13">
        <f t="shared" si="6"/>
        <v>0.25658957998194637</v>
      </c>
      <c r="H13">
        <v>4</v>
      </c>
      <c r="I13">
        <v>32</v>
      </c>
      <c r="J13">
        <f t="shared" si="7"/>
        <v>0.32169908772759481</v>
      </c>
      <c r="K13">
        <v>4.2</v>
      </c>
      <c r="L13">
        <v>33</v>
      </c>
      <c r="M13">
        <f t="shared" si="8"/>
        <v>0.35922541197472491</v>
      </c>
    </row>
    <row r="14" spans="1:13" x14ac:dyDescent="0.25">
      <c r="A14">
        <v>45</v>
      </c>
      <c r="B14">
        <v>2</v>
      </c>
      <c r="C14">
        <v>42</v>
      </c>
      <c r="D14">
        <f t="shared" si="5"/>
        <v>0.27708847204661974</v>
      </c>
      <c r="E14">
        <v>1.5</v>
      </c>
      <c r="F14">
        <v>42</v>
      </c>
      <c r="G14">
        <f t="shared" si="6"/>
        <v>0.20781635403496479</v>
      </c>
      <c r="H14">
        <v>1.4</v>
      </c>
      <c r="I14">
        <v>42</v>
      </c>
      <c r="J14">
        <f t="shared" si="7"/>
        <v>0.19396193043263379</v>
      </c>
      <c r="K14">
        <v>1.4</v>
      </c>
      <c r="L14">
        <v>44</v>
      </c>
      <c r="M14">
        <f t="shared" si="8"/>
        <v>0.21287431820724437</v>
      </c>
    </row>
    <row r="15" spans="1:13" x14ac:dyDescent="0.25">
      <c r="A15">
        <v>55</v>
      </c>
      <c r="B15">
        <v>0.8</v>
      </c>
      <c r="C15">
        <v>50</v>
      </c>
      <c r="D15">
        <f t="shared" si="5"/>
        <v>0.15707963267948966</v>
      </c>
      <c r="E15">
        <v>0.8</v>
      </c>
      <c r="F15">
        <v>51</v>
      </c>
      <c r="G15">
        <f t="shared" si="6"/>
        <v>0.16342564983974106</v>
      </c>
      <c r="H15">
        <v>0.5</v>
      </c>
      <c r="I15">
        <v>54</v>
      </c>
      <c r="J15">
        <f t="shared" si="7"/>
        <v>0.11451105222334797</v>
      </c>
      <c r="M15">
        <f t="shared" si="8"/>
        <v>0</v>
      </c>
    </row>
    <row r="16" spans="1:13" x14ac:dyDescent="0.25">
      <c r="A16">
        <v>65</v>
      </c>
      <c r="B16">
        <v>0.2</v>
      </c>
      <c r="C16">
        <v>58</v>
      </c>
      <c r="D16">
        <f t="shared" si="5"/>
        <v>5.284158843338032E-2</v>
      </c>
      <c r="E16">
        <v>0.6</v>
      </c>
      <c r="F16">
        <v>59</v>
      </c>
      <c r="G16">
        <f t="shared" si="6"/>
        <v>0.16403826040719105</v>
      </c>
      <c r="J16">
        <f t="shared" si="7"/>
        <v>0</v>
      </c>
      <c r="M16">
        <f t="shared" si="8"/>
        <v>0</v>
      </c>
    </row>
    <row r="17" spans="2:14" x14ac:dyDescent="0.25">
      <c r="D17">
        <f>+SUM(D11:D16)</f>
        <v>1.8389940916318572</v>
      </c>
      <c r="G17">
        <f>+SUM(G11:G16)</f>
        <v>1.0769693775771172</v>
      </c>
      <c r="J17">
        <f>+SUM(J11:J16)</f>
        <v>1.2446675934257401</v>
      </c>
      <c r="M17">
        <f>+SUM(M11:M16)</f>
        <v>1.2975720137121922</v>
      </c>
      <c r="N17">
        <f>+SUM(D17:M17)</f>
        <v>5.4582030763469067</v>
      </c>
    </row>
    <row r="18" spans="2:14" x14ac:dyDescent="0.25">
      <c r="B18">
        <f>+SUM(B11:B16)</f>
        <v>41</v>
      </c>
      <c r="E18">
        <f>+SUM(E11:E16)</f>
        <v>17.900000000000002</v>
      </c>
      <c r="H18">
        <f>+SUM(H11:H16)</f>
        <v>31.9</v>
      </c>
      <c r="K18">
        <f>+SUM(K11:K16)</f>
        <v>31.999999999999996</v>
      </c>
      <c r="N18">
        <f>+SUM(A18:M18)</f>
        <v>122.80000000000001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2025-12-30T18:17:28Z</dcterms:modified>
</cp:coreProperties>
</file>